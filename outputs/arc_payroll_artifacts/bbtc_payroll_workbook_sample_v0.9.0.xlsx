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83cb0ef32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 Summary" sheetId="1" r:id="R5ea4a28d706547dc"/>
    <x:sheet xmlns:r="http://schemas.openxmlformats.org/officeDocument/2006/relationships" name="Timesheets" sheetId="2" r:id="R4fea5428f41a4859"/>
    <x:sheet xmlns:r="http://schemas.openxmlformats.org/officeDocument/2006/relationships" name="Adjustments" sheetId="3" r:id="R38fdc1644f414dca"/>
    <x:sheet xmlns:r="http://schemas.openxmlformats.org/officeDocument/2006/relationships" name="Exceptions" sheetId="4" r:id="R781768b68964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F5D3A"/>
      <x:name val="Carlito"/>
    </x:font>
    <x:font>
      <x:sz val="11"/>
      <x:color rgb="FF17221B"/>
      <x:name val="Carlito"/>
    </x:font>
    <x:font>
      <x:b/>
      <x:sz val="11"/>
      <x:color rgb="FF2F5D3A"/>
      <x:name val="Carlito"/>
    </x:font>
    <x:font>
      <x:b/>
      <x:sz val="12"/>
      <x:color rgb="FF17221B"/>
      <x:name val="Carlito"/>
    </x:font>
    <x:font>
      <x:b/>
      <x:sz val="10"/>
      <x:color rgb="FFFFFFFF"/>
      <x:name val="Carlito"/>
    </x:font>
    <x:font>
      <x:sz val="10"/>
      <x:color rgb="FF17221B"/>
      <x:name val="Carlito"/>
    </x:font>
    <x:font>
      <x:b/>
      <x:sz val="10"/>
      <x:color rgb="FF6B4D12"/>
      <x:name val="Carlito"/>
    </x:font>
    <x:font>
      <x:b/>
      <x:sz val="10"/>
      <x:color rgb="FF9B2C2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5D3A"/>
      </x:patternFill>
    </x:fill>
    <x:fill>
      <x:patternFill patternType="solid">
        <x:fgColor rgb="FFE8F1EA"/>
      </x:patternFill>
    </x:fill>
    <x:fill>
      <x:patternFill patternType="solid">
        <x:fgColor rgb="FFFBF4E3"/>
      </x:patternFill>
    </x:fill>
    <x:fill>
      <x:patternFill patternType="solid">
        <x:fgColor rgb="FF17221B"/>
      </x:patternFill>
    </x:fill>
    <x:fill>
      <x:patternFill patternType="solid">
        <x:fgColor rgb="FFFCE8E8"/>
      </x:patternFill>
    </x:fill>
  </x:fills>
  <x:borders count="13">
    <x:border/>
    <x:border>
      <x:left style="thin">
        <x:color rgb="FFD8E0DA"/>
      </x:left>
      <x:top style="thin">
        <x:color rgb="FFD8E0DA"/>
      </x:top>
    </x:border>
    <x:border>
      <x:right style="thin">
        <x:color rgb="FFD8E0DA"/>
      </x:right>
      <x:top style="thin">
        <x:color rgb="FFD8E0DA"/>
      </x:top>
    </x:border>
    <x:border>
      <x:left style="thin">
        <x:color rgb="FFD8E0DA"/>
      </x:left>
      <x:bottom style="thin">
        <x:color rgb="FFD8E0DA"/>
      </x:bottom>
    </x:border>
    <x:border>
      <x:right style="thin">
        <x:color rgb="FFD8E0DA"/>
      </x:right>
      <x:bottom style="thin">
        <x:color rgb="FFD8E0DA"/>
      </x:bottom>
    </x:border>
    <x:border>
      <x:left style="thin">
        <x:color rgb="FF17221B"/>
      </x:left>
      <x:top style="thin">
        <x:color rgb="FF17221B"/>
      </x:top>
      <x:bottom style="thin">
        <x:color rgb="FF17221B"/>
      </x:bottom>
    </x:border>
    <x:border>
      <x:top style="thin">
        <x:color rgb="FF17221B"/>
      </x:top>
      <x:bottom style="thin">
        <x:color rgb="FF17221B"/>
      </x:bottom>
    </x:border>
    <x:border>
      <x:right style="thin">
        <x:color rgb="FF17221B"/>
      </x:right>
      <x:top style="thin">
        <x:color rgb="FF17221B"/>
      </x:top>
      <x:bottom style="thin">
        <x:color rgb="FF17221B"/>
      </x:bottom>
    </x:border>
    <x:border>
      <x:bottom style="thin">
        <x:color rgb="FFD8E0DA"/>
      </x:bottom>
    </x:border>
    <x:border>
      <x:top style="thin">
        <x:color rgb="FFD8E0DA"/>
      </x:top>
      <x:bottom style="thin">
        <x:color rgb="FFD8E0DA"/>
      </x:bottom>
    </x:border>
    <x:border>
      <x:left style="thin">
        <x:color rgb="FFE7C875"/>
      </x:left>
      <x:top style="thin">
        <x:color rgb="FFE7C875"/>
      </x:top>
      <x:bottom style="thin">
        <x:color rgb="FFE7C875"/>
      </x:bottom>
    </x:border>
    <x:border>
      <x:top style="thin">
        <x:color rgb="FFE7C875"/>
      </x:top>
      <x:bottom style="thin">
        <x:color rgb="FFE7C875"/>
      </x:bottom>
    </x:border>
    <x:border>
      <x:right style="thin">
        <x:color rgb="FFE7C875"/>
      </x:right>
      <x:top style="thin">
        <x:color rgb="FFE7C875"/>
      </x:top>
      <x:bottom style="thin">
        <x:color rgb="FFE7C875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200" fontId="3" fillId="3" borderId="2" xfId="0" applyNumberFormat="1" applyFont="1" applyFill="1" applyBorder="1"/>
    <x:xf numFmtId="200" fontId="3" fillId="3" borderId="4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201" fontId="7" fillId="0" borderId="8" xfId="0" applyNumberFormat="1" applyFont="1" applyFill="1" applyBorder="1" applyAlignment="1">
      <x:alignment vertical="center"/>
    </x:xf>
    <x:xf numFmtId="201" fontId="7" fillId="0" borderId="9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200" fontId="7" fillId="0" borderId="9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7" fillId="6" borderId="8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a2cfef9834b8a" /><Relationship Type="http://schemas.openxmlformats.org/officeDocument/2006/relationships/theme" Target="/xl/theme/theme1.xml" Id="Rcf9039a9d2d64e7e" /><Relationship Type="http://schemas.openxmlformats.org/officeDocument/2006/relationships/sharedStrings" Target="/xl/sharedStrings.xml" Id="Rd36e1c97156040db" /><Relationship Type="http://schemas.openxmlformats.org/officeDocument/2006/relationships/worksheet" Target="/xl/worksheets/sheet1.xml" Id="R5ea4a28d706547dc" /><Relationship Type="http://schemas.openxmlformats.org/officeDocument/2006/relationships/worksheet" Target="/xl/worksheets/sheet2.xml" Id="R4fea5428f41a4859" /><Relationship Type="http://schemas.openxmlformats.org/officeDocument/2006/relationships/worksheet" Target="/xl/worksheets/sheet3.xml" Id="R38fdc1644f414dca" /><Relationship Type="http://schemas.openxmlformats.org/officeDocument/2006/relationships/worksheet" Target="/xl/worksheets/sheet4.xml" Id="R781768b689644a15" /></Relationships>
</file>

<file path=xl/tables/table1.xml><?xml version="1.0" encoding="utf-8"?>
<x:table xmlns:x="http://schemas.openxmlformats.org/spreadsheetml/2006/main" id="1" name="PayrollTimesheets" displayName="PayrollTimesheets" ref="A4:L9" headerRowCount="1" totalsRowCount="0" totalsRowShown="0">
  <x:tableColumns count="12">
    <x:tableColumn id="1" name="Work Date"/>
    <x:tableColumn id="2" name="Employee ID"/>
    <x:tableColumn id="3" name="Employee"/>
    <x:tableColumn id="4" name="Clock In"/>
    <x:tableColumn id="5" name="Clock Out"/>
    <x:tableColumn id="6" name="Break Minutes"/>
    <x:tableColumn id="7" name="Regular Hours"/>
    <x:tableColumn id="8" name="Overtime Hours"/>
    <x:tableColumn id="9" name="Total Hours"/>
    <x:tableColumn id="10" name="Hourly Rate"/>
    <x:tableColumn id="11" name="Gross Estimat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rollAdjustments" displayName="PayrollAdjustments" ref="A4:F5" headerRowCount="1" totalsRowCount="0" totalsRowShown="0">
  <x:tableColumns count="6">
    <x:tableColumn id="1" name="Work Date"/>
    <x:tableColumn id="2" name="Employee ID"/>
    <x:tableColumn id="3" name="Employee"/>
    <x:tableColumn id="4" name="Hours"/>
    <x:tableColumn id="5" name="Reason"/>
    <x:tableColumn id="6" name="Recorded 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rollExceptions" displayName="PayrollExceptions" ref="A4:F5" headerRowCount="1" totalsRowCount="0" totalsRowShown="0">
  <x:tableColumns count="6">
    <x:tableColumn id="1" name="Priority"/>
    <x:tableColumn id="2" name="Employee"/>
    <x:tableColumn id="3" name="Employee ID"/>
    <x:tableColumn id="4" name="Exception"/>
    <x:tableColumn id="5" name="Recommended Action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a94d743be6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76105f7cc444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6339ecce484e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6" customHeight="1">
      <x:c r="A1" s="3" t="str">
        <x:v>Best Buds Payroll Review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SAMPLE • Operator-ready workbook • Period: June 16–30, 2026 • America/New_York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Review status</x:v>
      </x:c>
      <x:c r="B4" s="9" t="str">
        <x:v>Ready for owner review</x:v>
      </x:c>
      <x:c r="D4" s="12" t="str">
        <x:v>Recorded hours</x:v>
      </x:c>
      <x:c r="E4" s="9" t="n">
        <x:f>SUM(E9:E11)</x:f>
        <x:v>36.64</x:v>
      </x:c>
      <x:c r="G4" s="12" t="str">
        <x:v>Gross estimate</x:v>
      </x:c>
      <x:c r="H4" s="14" t="n">
        <x:f>SUM(G9:G11)</x:f>
        <x:v>791.6825</x:v>
      </x:c>
    </x:row>
    <x:row r="5">
      <x:c r="A5" s="13" t="str">
        <x:v>Employees</x:v>
      </x:c>
      <x:c r="B5" s="11" t="n">
        <x:v>3</x:v>
      </x:c>
      <x:c r="D5" s="13" t="str">
        <x:v>Exceptions</x:v>
      </x:c>
      <x:c r="E5" s="11" t="n">
        <x:f>SUM(J9:J11)</x:f>
        <x:v>1</x:v>
      </x:c>
      <x:c r="G5" s="13" t="str">
        <x:v>Net estimate</x:v>
      </x:c>
      <x:c r="H5" s="15" t="n">
        <x:f>SUM(I9:I11)</x:f>
        <x:v>601.6025</x:v>
      </x:c>
    </x:row>
    <x:row r="7">
      <x:c r="A7" s="17" t="str">
        <x:v>Employee totals</x:v>
      </x:c>
      <x:c r="B7" s="17"/>
      <x:c r="C7" s="17"/>
      <x:c r="D7" s="17"/>
      <x:c r="E7" s="17"/>
      <x:c r="F7" s="17"/>
      <x:c r="G7" s="17"/>
      <x:c r="H7" s="17"/>
      <x:c r="I7" s="17"/>
      <x:c r="J7" s="17"/>
    </x:row>
    <x:row r="8" ht="28" customHeight="1">
      <x:c r="A8" s="26" t="str">
        <x:v>Employee</x:v>
      </x:c>
      <x:c r="B8" s="27" t="str">
        <x:v>Employee ID</x:v>
      </x:c>
      <x:c r="C8" s="27" t="str">
        <x:v>Regular</x:v>
      </x:c>
      <x:c r="D8" s="27" t="str">
        <x:v>Overtime</x:v>
      </x:c>
      <x:c r="E8" s="27" t="str">
        <x:v>Total Hours</x:v>
      </x:c>
      <x:c r="F8" s="27" t="str">
        <x:v>Hourly Rate</x:v>
      </x:c>
      <x:c r="G8" s="27" t="str">
        <x:v>Gross Estimate</x:v>
      </x:c>
      <x:c r="H8" s="27" t="str">
        <x:v>Tax Estimate</x:v>
      </x:c>
      <x:c r="I8" s="27" t="str">
        <x:v>Net Estimate</x:v>
      </x:c>
      <x:c r="J8" s="28" t="str">
        <x:v>Exceptions</x:v>
      </x:c>
    </x:row>
    <x:row r="9">
      <x:c r="A9" s="32" t="str">
        <x:v>Avery Collins</x:v>
      </x:c>
      <x:c r="B9" s="32" t="str">
        <x:v>emp_101</x:v>
      </x:c>
      <x:c r="C9" s="34" t="n">
        <x:f>SUMIF(Timesheets!$B$5:$B$200,B9,Timesheets!$G$5:$G$200)</x:f>
        <x:v>15.469999999999999</x:v>
      </x:c>
      <x:c r="D9" s="34" t="n">
        <x:f>SUMIF(Timesheets!$B$5:$B$200,B9,Timesheets!$H$5:$H$200)</x:f>
        <x:v>0</x:v>
      </x:c>
      <x:c r="E9" s="34" t="n">
        <x:f>C9+D9</x:f>
        <x:v>15.469999999999999</x:v>
      </x:c>
      <x:c r="F9" s="36" t="n">
        <x:v>22.5</x:v>
      </x:c>
      <x:c r="G9" s="36" t="n">
        <x:f>E9*F9</x:f>
        <x:v>348.075</x:v>
      </x:c>
      <x:c r="H9" s="36" t="n">
        <x:v>86.4</x:v>
      </x:c>
      <x:c r="I9" s="36" t="n">
        <x:f>MAX(G9-H9,0)</x:f>
        <x:v>261.67499999999995</x:v>
      </x:c>
      <x:c r="J9" s="32" t="n">
        <x:v>0</x:v>
      </x:c>
    </x:row>
    <x:row r="10">
      <x:c r="A10" s="33" t="str">
        <x:v>Jordan Reed</x:v>
      </x:c>
      <x:c r="B10" s="33" t="str">
        <x:v>emp_104</x:v>
      </x:c>
      <x:c r="C10" s="35" t="n">
        <x:f>SUMIF(Timesheets!$B$5:$B$200,B10,Timesheets!$G$5:$G$200)</x:f>
        <x:v>15.17</x:v>
      </x:c>
      <x:c r="D10" s="35" t="n">
        <x:f>SUMIF(Timesheets!$B$5:$B$200,B10,Timesheets!$H$5:$H$200)</x:f>
        <x:v>0</x:v>
      </x:c>
      <x:c r="E10" s="35" t="n">
        <x:f>C10+D10</x:f>
        <x:v>15.17</x:v>
      </x:c>
      <x:c r="F10" s="37" t="n">
        <x:v>19.75</x:v>
      </x:c>
      <x:c r="G10" s="37" t="n">
        <x:f>E10*F10</x:f>
        <x:v>299.6075</x:v>
      </x:c>
      <x:c r="H10" s="37" t="n">
        <x:v>67.68</x:v>
      </x:c>
      <x:c r="I10" s="37" t="n">
        <x:f>MAX(G10-H10,0)</x:f>
        <x:v>231.9275</x:v>
      </x:c>
      <x:c r="J10" s="33" t="n">
        <x:v>0</x:v>
      </x:c>
    </x:row>
    <x:row r="11">
      <x:c r="A11" s="33" t="str">
        <x:v>Morgan Lee</x:v>
      </x:c>
      <x:c r="B11" s="33" t="str">
        <x:v>emp_112</x:v>
      </x:c>
      <x:c r="C11" s="35" t="n">
        <x:f>SUMIF(Timesheets!$B$5:$B$200,B11,Timesheets!$G$5:$G$200)</x:f>
        <x:v>6</x:v>
      </x:c>
      <x:c r="D11" s="35" t="n">
        <x:f>SUMIF(Timesheets!$B$5:$B$200,B11,Timesheets!$H$5:$H$200)</x:f>
        <x:v>0</x:v>
      </x:c>
      <x:c r="E11" s="35" t="n">
        <x:f>C11+D11</x:f>
        <x:v>6</x:v>
      </x:c>
      <x:c r="F11" s="37" t="n">
        <x:v>24</x:v>
      </x:c>
      <x:c r="G11" s="37" t="n">
        <x:f>E11*F11</x:f>
        <x:v>144</x:v>
      </x:c>
      <x:c r="H11" s="37" t="n">
        <x:v>36</x:v>
      </x:c>
      <x:c r="I11" s="37" t="n">
        <x:f>MAX(G11-H11,0)</x:f>
        <x:v>108</x:v>
      </x:c>
      <x:c r="J11" s="33" t="n">
        <x:v>1</x:v>
      </x:c>
    </x:row>
    <x:row r="13" ht="38" customHeight="1">
      <x:c r="A13" s="42" t="str">
        <x:v>Estimates only. Review exceptions and approved adjustments before payroll submission.</x:v>
      </x:c>
      <x:c r="B13" s="43"/>
      <x:c r="C13" s="43"/>
      <x:c r="D13" s="43"/>
      <x:c r="E13" s="43"/>
      <x:c r="F13" s="43"/>
      <x:c r="G13" s="43"/>
      <x:c r="H13" s="43"/>
      <x:c r="I13" s="43"/>
      <x:c r="J13" s="44"/>
    </x:row>
  </x:sheetData>
  <x:mergeCells>
    <x:mergeCell ref="A1:J1"/>
    <x:mergeCell ref="A2:J2"/>
    <x:mergeCell ref="A7:J7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8" hidden="0" customWidth="1"/>
  </x:cols>
  <x:sheetData>
    <x:row r="1" ht="36" customHeight="1">
      <x:c r="A1" s="3" t="str">
        <x:v>Timesheet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Human-readable session detail used by the Payroll Summary sheet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8" customHeight="1">
      <x:c r="A4" s="26" t="str">
        <x:v>Work Date</x:v>
      </x:c>
      <x:c r="B4" s="27" t="str">
        <x:v>Employee ID</x:v>
      </x:c>
      <x:c r="C4" s="27" t="str">
        <x:v>Employee</x:v>
      </x:c>
      <x:c r="D4" s="27" t="str">
        <x:v>Clock In</x:v>
      </x:c>
      <x:c r="E4" s="27" t="str">
        <x:v>Clock Out</x:v>
      </x:c>
      <x:c r="F4" s="27" t="str">
        <x:v>Break Minutes</x:v>
      </x:c>
      <x:c r="G4" s="27" t="str">
        <x:v>Regular Hours</x:v>
      </x:c>
      <x:c r="H4" s="27" t="str">
        <x:v>Overtime Hours</x:v>
      </x:c>
      <x:c r="I4" s="27" t="str">
        <x:v>Total Hours</x:v>
      </x:c>
      <x:c r="J4" s="27" t="str">
        <x:v>Hourly Rate</x:v>
      </x:c>
      <x:c r="K4" s="27" t="str">
        <x:v>Gross Estimate</x:v>
      </x:c>
      <x:c r="L4" s="28" t="str">
        <x:v>Notes</x:v>
      </x:c>
    </x:row>
    <x:row r="5" ht="24" customHeight="1">
      <x:c r="A5" s="32" t="str">
        <x:v>Jun 16, 2026</x:v>
      </x:c>
      <x:c r="B5" s="32" t="str">
        <x:v>emp_101</x:v>
      </x:c>
      <x:c r="C5" s="32" t="str">
        <x:v>Avery Collins</x:v>
      </x:c>
      <x:c r="D5" s="32" t="str">
        <x:v>Jun 16, 2026 8:55 AM</x:v>
      </x:c>
      <x:c r="E5" s="32" t="str">
        <x:v>Jun 16, 2026 5:20 PM</x:v>
      </x:c>
      <x:c r="F5" s="34" t="n">
        <x:v>30</x:v>
      </x:c>
      <x:c r="G5" s="34" t="n">
        <x:v>7.92</x:v>
      </x:c>
      <x:c r="H5" s="34" t="n">
        <x:v>0</x:v>
      </x:c>
      <x:c r="I5" s="34" t="n">
        <x:v>7.92</x:v>
      </x:c>
      <x:c r="J5" s="36" t="n">
        <x:v>22.5</x:v>
      </x:c>
      <x:c r="K5" s="36" t="n">
        <x:v>178.2</x:v>
      </x:c>
      <x:c r="L5" s="32" t="str"/>
    </x:row>
    <x:row r="6" ht="24" customHeight="1">
      <x:c r="A6" s="33" t="str">
        <x:v>Jun 17, 2026</x:v>
      </x:c>
      <x:c r="B6" s="33" t="str">
        <x:v>emp_101</x:v>
      </x:c>
      <x:c r="C6" s="33" t="str">
        <x:v>Avery Collins</x:v>
      </x:c>
      <x:c r="D6" s="33" t="str">
        <x:v>Jun 17, 2026 9:02 AM</x:v>
      </x:c>
      <x:c r="E6" s="33" t="str">
        <x:v>Jun 17, 2026 5:05 PM</x:v>
      </x:c>
      <x:c r="F6" s="35" t="n">
        <x:v>30</x:v>
      </x:c>
      <x:c r="G6" s="35" t="n">
        <x:v>7.55</x:v>
      </x:c>
      <x:c r="H6" s="35" t="n">
        <x:v>0</x:v>
      </x:c>
      <x:c r="I6" s="35" t="n">
        <x:v>7.55</x:v>
      </x:c>
      <x:c r="J6" s="37" t="n">
        <x:v>22.5</x:v>
      </x:c>
      <x:c r="K6" s="37" t="n">
        <x:v>169.88</x:v>
      </x:c>
      <x:c r="L6" s="33" t="str"/>
    </x:row>
    <x:row r="7" ht="24" customHeight="1">
      <x:c r="A7" s="33" t="str">
        <x:v>Jun 16, 2026</x:v>
      </x:c>
      <x:c r="B7" s="33" t="str">
        <x:v>emp_104</x:v>
      </x:c>
      <x:c r="C7" s="33" t="str">
        <x:v>Jordan Reed</x:v>
      </x:c>
      <x:c r="D7" s="33" t="str">
        <x:v>Jun 16, 2026 10:00 AM</x:v>
      </x:c>
      <x:c r="E7" s="33" t="str">
        <x:v>Jun 16, 2026 6:15 PM</x:v>
      </x:c>
      <x:c r="F7" s="35" t="n">
        <x:v>30</x:v>
      </x:c>
      <x:c r="G7" s="35" t="n">
        <x:v>7.75</x:v>
      </x:c>
      <x:c r="H7" s="35" t="n">
        <x:v>0</x:v>
      </x:c>
      <x:c r="I7" s="35" t="n">
        <x:v>7.75</x:v>
      </x:c>
      <x:c r="J7" s="37" t="n">
        <x:v>19.75</x:v>
      </x:c>
      <x:c r="K7" s="37" t="n">
        <x:v>153.06</x:v>
      </x:c>
      <x:c r="L7" s="33" t="str"/>
    </x:row>
    <x:row r="8" ht="24" customHeight="1">
      <x:c r="A8" s="33" t="str">
        <x:v>Jun 17, 2026</x:v>
      </x:c>
      <x:c r="B8" s="33" t="str">
        <x:v>emp_104</x:v>
      </x:c>
      <x:c r="C8" s="33" t="str">
        <x:v>Jordan Reed</x:v>
      </x:c>
      <x:c r="D8" s="33" t="str">
        <x:v>Jun 17, 2026 10:05 AM</x:v>
      </x:c>
      <x:c r="E8" s="33" t="str">
        <x:v>Jun 17, 2026 6:00 PM</x:v>
      </x:c>
      <x:c r="F8" s="35" t="n">
        <x:v>30</x:v>
      </x:c>
      <x:c r="G8" s="35" t="n">
        <x:v>7.42</x:v>
      </x:c>
      <x:c r="H8" s="35" t="n">
        <x:v>0</x:v>
      </x:c>
      <x:c r="I8" s="35" t="n">
        <x:v>7.42</x:v>
      </x:c>
      <x:c r="J8" s="37" t="n">
        <x:v>19.75</x:v>
      </x:c>
      <x:c r="K8" s="37" t="n">
        <x:v>146.55</x:v>
      </x:c>
      <x:c r="L8" s="33" t="str">
        <x:v>Approved +0.25 hour adjustment included</x:v>
      </x:c>
    </x:row>
    <x:row r="9" ht="24" customHeight="1">
      <x:c r="A9" s="33" t="str">
        <x:v>Jun 18, 2026</x:v>
      </x:c>
      <x:c r="B9" s="33" t="str">
        <x:v>emp_112</x:v>
      </x:c>
      <x:c r="C9" s="33" t="str">
        <x:v>Morgan Lee</x:v>
      </x:c>
      <x:c r="D9" s="33" t="str">
        <x:v>Jun 18, 2026 9:10 AM</x:v>
      </x:c>
      <x:c r="E9" s="33" t="str">
        <x:v>OPEN</x:v>
      </x:c>
      <x:c r="F9" s="35" t="n">
        <x:v>0</x:v>
      </x:c>
      <x:c r="G9" s="35" t="n">
        <x:v>6</x:v>
      </x:c>
      <x:c r="H9" s="35" t="n">
        <x:v>0</x:v>
      </x:c>
      <x:c r="I9" s="35" t="n">
        <x:v>6</x:v>
      </x:c>
      <x:c r="J9" s="37" t="n">
        <x:v>24</x:v>
      </x:c>
      <x:c r="K9" s="37" t="n">
        <x:v>144</x:v>
      </x:c>
      <x:c r="L9" s="46" t="str">
        <x:v>OPEN SESSION — owner review required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1a94d743be649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36" hidden="0" customWidth="1"/>
    <x:col min="6" max="6" width="23" hidden="0" customWidth="1"/>
  </x:cols>
  <x:sheetData>
    <x:row r="1" ht="36" customHeight="1">
      <x:c r="A1" s="3" t="str">
        <x:v>Approved Adjustments</x:v>
      </x:c>
      <x:c r="B1" s="3"/>
      <x:c r="C1" s="3"/>
      <x:c r="D1" s="3"/>
      <x:c r="E1" s="3"/>
      <x:c r="F1" s="3"/>
    </x:row>
    <x:row r="2" ht="26" customHeight="1">
      <x:c r="A2" s="6" t="str">
        <x:v>Owner-entered changes are separated from recorded punch events</x:v>
      </x:c>
      <x:c r="B2" s="6"/>
      <x:c r="C2" s="6"/>
      <x:c r="D2" s="6"/>
      <x:c r="E2" s="6"/>
      <x:c r="F2" s="6"/>
    </x:row>
    <x:row r="4" ht="28" customHeight="1">
      <x:c r="A4" s="26" t="str">
        <x:v>Work Date</x:v>
      </x:c>
      <x:c r="B4" s="27" t="str">
        <x:v>Employee ID</x:v>
      </x:c>
      <x:c r="C4" s="27" t="str">
        <x:v>Employee</x:v>
      </x:c>
      <x:c r="D4" s="27" t="str">
        <x:v>Hours</x:v>
      </x:c>
      <x:c r="E4" s="27" t="str">
        <x:v>Reason</x:v>
      </x:c>
      <x:c r="F4" s="28" t="str">
        <x:v>Recorded At</x:v>
      </x:c>
    </x:row>
    <x:row r="5">
      <x:c r="A5" s="32" t="str">
        <x:v>Jun 17, 2026</x:v>
      </x:c>
      <x:c r="B5" s="32" t="str">
        <x:v>emp_104</x:v>
      </x:c>
      <x:c r="C5" s="32" t="str">
        <x:v>Jordan Reed</x:v>
      </x:c>
      <x:c r="D5" s="34" t="n">
        <x:v>0.25</x:v>
      </x:c>
      <x:c r="E5" s="32" t="str">
        <x:v>Approved missed setup time</x:v>
      </x:c>
      <x:c r="F5" s="32" t="str">
        <x:v>Jun 18, 2026 10:20 AM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e76105f7cc444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38" hidden="0" customWidth="1"/>
    <x:col min="5" max="5" width="38" hidden="0" customWidth="1"/>
    <x:col min="6" max="6" width="18" hidden="0" customWidth="1"/>
  </x:cols>
  <x:sheetData>
    <x:row r="1" ht="36" customHeight="1">
      <x:c r="A1" s="3" t="str">
        <x:v>Review Exceptions</x:v>
      </x:c>
      <x:c r="B1" s="3"/>
      <x:c r="C1" s="3"/>
      <x:c r="D1" s="3"/>
      <x:c r="E1" s="3"/>
      <x:c r="F1" s="3"/>
    </x:row>
    <x:row r="2" ht="26" customHeight="1">
      <x:c r="A2" s="6" t="str">
        <x:v>Resolve or acknowledge these items before using the workbook for payroll</x:v>
      </x:c>
      <x:c r="B2" s="6"/>
      <x:c r="C2" s="6"/>
      <x:c r="D2" s="6"/>
      <x:c r="E2" s="6"/>
      <x:c r="F2" s="6"/>
    </x:row>
    <x:row r="4" ht="28" customHeight="1">
      <x:c r="A4" s="26" t="str">
        <x:v>Priority</x:v>
      </x:c>
      <x:c r="B4" s="27" t="str">
        <x:v>Employee</x:v>
      </x:c>
      <x:c r="C4" s="27" t="str">
        <x:v>Employee ID</x:v>
      </x:c>
      <x:c r="D4" s="27" t="str">
        <x:v>Exception</x:v>
      </x:c>
      <x:c r="E4" s="27" t="str">
        <x:v>Recommended Action</x:v>
      </x:c>
      <x:c r="F4" s="28" t="str">
        <x:v>Status</x:v>
      </x:c>
    </x:row>
    <x:row r="5">
      <x:c r="A5" s="48" t="str">
        <x:v>High</x:v>
      </x:c>
      <x:c r="B5" s="47" t="str">
        <x:v>Morgan Lee</x:v>
      </x:c>
      <x:c r="C5" s="47" t="str">
        <x:v>emp_112</x:v>
      </x:c>
      <x:c r="D5" s="47" t="str">
        <x:v>Open clock session</x:v>
      </x:c>
      <x:c r="E5" s="47" t="str">
        <x:v>Confirm the clock-out time in Operator Control.</x:v>
      </x:c>
      <x:c r="F5" s="48" t="str">
        <x:v>Needs Review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66339ecce484e84"/>
  </x:tableParts>
</x:worksheet>
</file>